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绿色工厂-成都\4.成都天坤盖业有限公司\1.能源低碳\"/>
    </mc:Choice>
  </mc:AlternateContent>
  <bookViews>
    <workbookView windowWidth="28800" windowHeight="11925" tabRatio="490"/>
  </bookViews>
  <sheets>
    <sheet name="1公司消耗情况表" sheetId="7" r:id="rId1"/>
    <sheet name="2消耗情况表" sheetId="8" r:id="rId2"/>
    <sheet name="Sheet2" sheetId="9" r:id="rId3"/>
  </sheets>
  <externalReferences>
    <externalReference r:id="rId4"/>
    <externalReference r:id="rId5"/>
  </externalReferences>
  <definedNames>
    <definedName name="_xlnm._FilterDatabase" hidden="1">'[1]1月維修費用'!$A$10:$H$158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<sst xmlns="http://schemas.openxmlformats.org/spreadsheetml/2006/main" count="118" uniqueCount="45">
  <si>
    <t>公司能源消耗情况表</t>
  </si>
  <si>
    <t>区域</t>
  </si>
  <si>
    <t>2024年3月至2025年2月</t>
  </si>
  <si>
    <t>合计</t>
  </si>
  <si>
    <t>能耗种类</t>
  </si>
  <si>
    <t>单位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</si>
  <si>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</si>
  <si>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</si>
  <si>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</si>
  <si>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</si>
  <si>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</si>
  <si>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</si>
  <si>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</si>
  <si>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</si>
  <si>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</si>
  <si>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</si>
  <si>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</si>
  <si>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</si>
  <si>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电</t>
  </si>
  <si>
    <t>kWh</t>
  </si>
  <si>
    <t>水</t>
  </si>
  <si>
    <t>t</t>
  </si>
  <si>
    <t>柴油</t>
  </si>
  <si>
    <t>天然气</t>
  </si>
  <si>
    <t>立方米</t>
  </si>
  <si>
    <t>产值</t>
  </si>
  <si>
    <t>万元</t>
  </si>
  <si>
    <t>产量</t>
  </si>
  <si>
    <t>件</t>
  </si>
  <si>
    <t>2025年3月至2026年2月</t>
  </si>
  <si>
    <t>2025年</t>
  </si>
  <si>
    <t>2026年3月至2027年2月</t>
  </si>
  <si>
    <t>能源消耗情况表</t>
  </si>
  <si>
    <t>能源品种</t>
  </si>
  <si>
    <t>折标系数</t>
  </si>
  <si>
    <t>系数单位</t>
  </si>
  <si>
    <t>消耗量</t>
  </si>
  <si>
    <t>吨标煤</t>
  </si>
  <si>
    <t>kgce/(kW· h)</t>
  </si>
  <si>
    <t>kgce/kg</t>
  </si>
  <si>
    <t>标准产品产量</t>
  </si>
  <si>
    <t>万元产值综合能耗</t>
  </si>
  <si>
    <t>千克标煤/万元</t>
  </si>
  <si>
    <t>单位产量综合能耗</t>
  </si>
  <si>
    <t>千克标煤/件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</si>
</sst>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_ "/>
  </numFmts>
  <fonts count="28"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6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4"/>
      <color rgb="FF000000"/>
      <name val="宋体"/>
      <charset val="136"/>
    </font>
    <font>
      <sz val="10"/>
      <name val="宋体"/>
      <charset val="134"/>
    </font>
    <font>
      <sz val="10"/>
      <name val="Times New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1F497D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rgb="FF1F497D"/>
      <name val="宋体"/>
      <charset val="134"/>
      <scheme val="minor"/>
    </font>
    <font>
      <b/>
      <sz val="13"/>
      <color rgb="FF1F497D"/>
      <name val="宋体"/>
      <charset val="134"/>
      <scheme val="minor"/>
    </font>
    <font>
      <b/>
      <sz val="11"/>
      <color rgb="FF1F497D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2"/>
      <color rgb="FF000000"/>
      <name val="宋体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00026416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ill="0" applyBorder="0" applyProtection="0"/>
    <xf numFmtId="44" fontId="0" fillId="0" borderId="0" applyFill="0" applyBorder="0" applyProtection="0"/>
    <xf numFmtId="9" fontId="0" fillId="0" borderId="0" applyFill="0" applyBorder="0" applyProtection="0"/>
    <xf numFmtId="41" fontId="0" fillId="0" borderId="0" applyFill="0" applyBorder="0" applyProtection="0"/>
    <xf numFmtId="42" fontId="0" fillId="0" borderId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0" fillId="2" borderId="9" applyNumberFormat="0" applyProtection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13" fillId="0" borderId="0" applyNumberFormat="0" applyFill="0" applyBorder="0" applyProtection="0"/>
    <xf numFmtId="0" fontId="14" fillId="0" borderId="10" applyNumberFormat="0" applyFill="0" applyProtection="0"/>
    <xf numFmtId="0" fontId="15" fillId="0" borderId="10" applyNumberFormat="0" applyFill="0" applyProtection="0"/>
    <xf numFmtId="0" fontId="16" fillId="0" borderId="11" applyNumberFormat="0" applyFill="0" applyProtection="0"/>
    <xf numFmtId="0" fontId="16" fillId="0" borderId="0" applyNumberFormat="0" applyFill="0" applyBorder="0" applyProtection="0"/>
    <xf numFmtId="0" fontId="17" fillId="3" borderId="12" applyNumberFormat="0" applyProtection="0"/>
    <xf numFmtId="0" fontId="18" fillId="4" borderId="13" applyNumberFormat="0" applyProtection="0"/>
    <xf numFmtId="0" fontId="19" fillId="4" borderId="12" applyNumberFormat="0" applyProtection="0"/>
    <xf numFmtId="0" fontId="20" fillId="5" borderId="14" applyNumberFormat="0" applyProtection="0"/>
    <xf numFmtId="0" fontId="21" fillId="0" borderId="15" applyNumberFormat="0" applyFill="0" applyProtection="0"/>
    <xf numFmtId="0" fontId="22" fillId="0" borderId="16" applyNumberFormat="0" applyFill="0" applyProtection="0"/>
    <xf numFmtId="0" fontId="23" fillId="6" borderId="0" applyNumberFormat="0" applyBorder="0" applyProtection="0"/>
    <xf numFmtId="0" fontId="24" fillId="7" borderId="0" applyNumberFormat="0" applyBorder="0" applyProtection="0"/>
    <xf numFmtId="0" fontId="25" fillId="8" borderId="0" applyNumberFormat="0" applyBorder="0" applyProtection="0"/>
    <xf numFmtId="0" fontId="26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6" fillId="12" borderId="0" applyNumberFormat="0" applyBorder="0" applyProtection="0"/>
    <xf numFmtId="0" fontId="26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6" fillId="16" borderId="0" applyNumberFormat="0" applyBorder="0" applyProtection="0"/>
    <xf numFmtId="0" fontId="26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6" fillId="20" borderId="0" applyNumberFormat="0" applyBorder="0" applyProtection="0"/>
    <xf numFmtId="0" fontId="26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6" fillId="24" borderId="0" applyNumberFormat="0" applyBorder="0" applyProtection="0"/>
    <xf numFmtId="0" fontId="26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6" fillId="28" borderId="0" applyNumberFormat="0" applyBorder="0" applyProtection="0"/>
    <xf numFmtId="0" fontId="26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6" fillId="32" borderId="0" applyNumberFormat="0" applyBorder="0" applyProtection="0"/>
    <xf numFmtId="0" fontId="0" fillId="0" borderId="0"/>
    <xf numFmtId="43" fontId="27" fillId="0" borderId="0" applyFill="0" applyBorder="0" applyProtection="0"/>
    <xf numFmtId="0" fontId="0" fillId="0" borderId="0">
      <alignment vertical="center"/>
    </xf>
  </cellStyleXfs>
  <cellXfs count="36"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178" fontId="3" fillId="0" borderId="2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177" fontId="4" fillId="0" borderId="0" xfId="0" applyNumberFormat="1" applyFont="1" applyFill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178" fontId="7" fillId="0" borderId="2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  <cellStyle name="千位分隔 7" xfId="50"/>
    <cellStyle name="常规 2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se\d\0.&#32147;&#29702;\2002&#24180;&#20445;&#20462;&#37096;AOD\2002&#24180;2&#26376;&#20221;\2002.1&#26376;&#24288;&#21209;&#36027;&#2999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32511;&#33394;&#24037;&#21378;-&#25104;&#37117;\4.&#25104;&#37117;&#22825;&#22372;&#30422;&#19994;&#26377;&#38480;&#20844;&#21496;\0.&#22522;&#26412;&#36164;&#26009;\3.1&#20307;&#31995;&#25991;&#20214;&#65288;&#33021;&#28304;&#20307;&#31995;&#65289;\&#20307;&#31995;&#25991;&#20214;&#65288;&#33021;&#28304;&#20307;&#31995;&#65289;\4-&#35760;&#24405;&#25991;&#20214;\5&#33021;&#28304;&#35780;&#23457;-&#20808;&#19981;&#25171;&#21360;&#65292;&#23457;&#26680;&#26816;&#26597;&#21518;&#20877;&#25171;\1&#33021;&#28304;&#28040;&#32791;&#24773;&#20917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月維修費用"/>
      <sheetName val="1月call off"/>
      <sheetName val="1月維修費總表"/>
      <sheetName val="1月維修費趨勢圖"/>
      <sheetName val="Sheet1"/>
      <sheetName val="AOD"/>
      <sheetName val="Review Table"/>
      <sheetName val="費用調整後"/>
      <sheetName val="調整前"/>
      <sheetName val="5月保三差異分析"/>
      <sheetName val="1. 費用AOD"/>
      <sheetName val="保三修理"/>
      <sheetName val="保三保養"/>
      <sheetName val="費用IP"/>
      <sheetName val="2. 效率AOD"/>
      <sheetName val="5. 異常AOD"/>
      <sheetName val="5. 異常IP"/>
      <sheetName val="7. 監控"/>
      <sheetName val="K7"/>
      <sheetName val="工時分析"/>
      <sheetName val="在途"/>
      <sheetName val="Bumping EE"/>
      <sheetName val="520_02"/>
      <sheetName val="1.3.1. License "/>
      <sheetName val="1.3.2. 監控電腦數量名稱"/>
      <sheetName val="Quality Index"/>
      <sheetName val="1月call_off"/>
      <sheetName val="Review_Table"/>
      <sheetName val="1__費用AOD"/>
      <sheetName val="2__效率AOD"/>
      <sheetName val="5__異常AOD"/>
      <sheetName val="5__異常IP"/>
      <sheetName val="7__監控"/>
      <sheetName val="Bumping_EE"/>
      <sheetName val="1_3_1__License_"/>
      <sheetName val="1_3_2__監控電腦數量名稱"/>
      <sheetName val="details"/>
      <sheetName val="電"/>
      <sheetName val=" 查檢表"/>
      <sheetName val="04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公司消耗情况表"/>
      <sheetName val="2消耗情况表"/>
      <sheetName val="3占比"/>
    </sheetNames>
    <sheetDataSet>
      <sheetData sheetId="0">
        <row r="2">
          <cell r="D2" t="str">
            <v>2024年3月至2025年2月</v>
          </cell>
        </row>
        <row r="4">
          <cell r="P4">
            <v>8306124</v>
          </cell>
        </row>
        <row r="5">
          <cell r="P5">
            <v>23101</v>
          </cell>
        </row>
        <row r="6">
          <cell r="P6">
            <v>143.07</v>
          </cell>
        </row>
        <row r="7">
          <cell r="P7">
            <v>14285.5</v>
          </cell>
        </row>
        <row r="8">
          <cell r="P8">
            <v>286238</v>
          </cell>
        </row>
        <row r="9">
          <cell r="C9" t="str">
            <v>2025年3月至2026年2月</v>
          </cell>
        </row>
        <row r="11">
          <cell r="P11">
            <v>7307524</v>
          </cell>
        </row>
        <row r="12">
          <cell r="P12">
            <v>22566</v>
          </cell>
        </row>
        <row r="13">
          <cell r="P13">
            <v>119.8</v>
          </cell>
        </row>
        <row r="14">
          <cell r="P14">
            <v>12866.6</v>
          </cell>
        </row>
        <row r="15">
          <cell r="P15">
            <v>257179</v>
          </cell>
        </row>
        <row r="16">
          <cell r="C16" t="str">
            <v>2026年3月至2027年2月</v>
          </cell>
        </row>
        <row r="18">
          <cell r="P18">
            <v>652105</v>
          </cell>
        </row>
        <row r="19">
          <cell r="P19">
            <v>1386</v>
          </cell>
        </row>
        <row r="20">
          <cell r="P20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R32"/>
  <sheetViews>
    <sheetView tabSelected="1" workbookViewId="0">
      <selection activeCell="Q16" sqref="Q16"/>
    </sheetView>
  </sheetViews>
  <sheetFormatPr defaultColWidth="10.6416666666667" defaultRowHeight="12"/>
  <cols>
    <col min="1" max="2" width="12.6666666666667" style="19" customWidth="1"/>
    <col min="3" max="3" width="10.1666666666667" style="19" customWidth="1"/>
    <col min="4" max="9" width="10.6666666666667" style="19" customWidth="1"/>
    <col min="10" max="15" width="10.6666666666667" style="20" customWidth="1"/>
    <col min="16" max="16" width="12.6666666666667" style="20" customWidth="1"/>
    <col min="17" max="16384" width="10.6666666666667" style="18"/>
  </cols>
  <sheetData>
    <row r="1" s="18" customFormat="1" ht="25" customHeight="1" spans="1:18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2"/>
      <c r="K1" s="22"/>
      <c r="L1" s="22"/>
      <c r="M1" s="22"/>
      <c r="N1" s="22"/>
      <c r="O1" s="22"/>
      <c r="P1" s="22"/>
    </row>
    <row r="2" s="18" customFormat="1" ht="20" customHeight="1" spans="1:18">
      <c r="A2" s="9" t="s">
        <v>1</v>
      </c>
      <c r="B2" s="9"/>
      <c r="C2" s="9"/>
      <c r="D2" s="23" t="s">
        <v>2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 t="s">
        <v>3</v>
      </c>
    </row>
    <row r="3" s="18" customFormat="1" ht="24" customHeight="1" spans="1:18">
      <c r="A3" s="9"/>
      <c r="B3" s="9" t="s">
        <v>4</v>
      </c>
      <c r="C3" s="9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  <c r="I3" s="23" t="s">
        <v>11</v>
      </c>
      <c r="J3" s="23" t="s">
        <v>12</v>
      </c>
      <c r="K3" s="23" t="s">
        <v>13</v>
      </c>
      <c r="L3" s="23" t="s">
        <v>14</v>
      </c>
      <c r="M3" s="23" t="s">
        <v>15</v>
      </c>
      <c r="N3" s="23" t="s">
        <v>16</v>
      </c>
      <c r="O3" s="23" t="s">
        <v>17</v>
      </c>
      <c r="P3" s="23"/>
    </row>
    <row r="4" s="18" customFormat="1" ht="26" customHeight="1" spans="1:18">
      <c r="A4" s="24"/>
      <c r="B4" s="9" t="s">
        <v>18</v>
      </c>
      <c r="C4" s="10" t="s">
        <v>19</v>
      </c>
      <c r="D4" s="25">
        <v>742169</v>
      </c>
      <c r="E4" s="25">
        <v>678749</v>
      </c>
      <c r="F4" s="25">
        <v>610530</v>
      </c>
      <c r="G4" s="25">
        <v>679261</v>
      </c>
      <c r="H4" s="25">
        <v>740771</v>
      </c>
      <c r="I4" s="26">
        <v>682580</v>
      </c>
      <c r="J4" s="26">
        <v>776232</v>
      </c>
      <c r="K4" s="26">
        <v>720078</v>
      </c>
      <c r="L4" s="26">
        <v>692543</v>
      </c>
      <c r="M4" s="26">
        <v>751185</v>
      </c>
      <c r="N4" s="25">
        <v>601512</v>
      </c>
      <c r="O4" s="25">
        <v>630514</v>
      </c>
      <c r="P4" s="23">
        <f t="shared" ref="P4:P9" si="0">SUM(D4:O4)</f>
        <v>8306124</v>
      </c>
    </row>
    <row r="5" s="18" customFormat="1" ht="26" customHeight="1" spans="1:18">
      <c r="A5" s="24"/>
      <c r="B5" s="13" t="s">
        <v>20</v>
      </c>
      <c r="C5" s="9" t="s">
        <v>21</v>
      </c>
      <c r="D5" s="23">
        <v>1444</v>
      </c>
      <c r="E5" s="23">
        <v>2177</v>
      </c>
      <c r="F5" s="23">
        <v>2288</v>
      </c>
      <c r="G5" s="23">
        <v>2800</v>
      </c>
      <c r="H5" s="23">
        <v>1989</v>
      </c>
      <c r="I5" s="23">
        <v>2194</v>
      </c>
      <c r="J5" s="23">
        <v>2208</v>
      </c>
      <c r="K5" s="23">
        <v>1982</v>
      </c>
      <c r="L5" s="23">
        <v>1780</v>
      </c>
      <c r="M5" s="23">
        <v>1329</v>
      </c>
      <c r="N5" s="23">
        <v>1477</v>
      </c>
      <c r="O5" s="23">
        <v>1433</v>
      </c>
      <c r="P5" s="23">
        <f t="shared" si="0"/>
        <v>23101</v>
      </c>
    </row>
    <row r="6" s="18" customFormat="1" ht="26" customHeight="1" spans="1:18">
      <c r="A6" s="24"/>
      <c r="B6" s="13" t="s">
        <v>22</v>
      </c>
      <c r="C6" s="27" t="s">
        <v>21</v>
      </c>
      <c r="D6" s="28">
        <v>143.07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30"/>
      <c r="P6" s="23">
        <f t="shared" si="0"/>
        <v>143.07</v>
      </c>
    </row>
    <row r="7" s="18" customFormat="1" ht="26" customHeight="1" spans="1:18">
      <c r="A7" s="24"/>
      <c r="B7" s="13" t="s">
        <v>23</v>
      </c>
      <c r="C7" s="27" t="s">
        <v>24</v>
      </c>
      <c r="D7" s="27">
        <v>3631.96</v>
      </c>
      <c r="E7" s="27"/>
      <c r="F7" s="27">
        <v>4076.08</v>
      </c>
      <c r="G7" s="27"/>
      <c r="H7" s="27"/>
      <c r="I7" s="27"/>
      <c r="J7" s="27">
        <v>4076.08</v>
      </c>
      <c r="K7" s="27"/>
      <c r="L7" s="27"/>
      <c r="M7" s="27"/>
      <c r="N7" s="27"/>
      <c r="O7" s="27">
        <v>1302.08</v>
      </c>
      <c r="P7" s="23">
        <f t="shared" si="0"/>
        <v>13086.2</v>
      </c>
    </row>
    <row r="8" s="18" customFormat="1" ht="26" customHeight="1" spans="1:18">
      <c r="A8" s="24"/>
      <c r="B8" s="13" t="s">
        <v>25</v>
      </c>
      <c r="C8" s="27" t="s">
        <v>26</v>
      </c>
      <c r="D8" s="27">
        <v>1206.4</v>
      </c>
      <c r="E8" s="27">
        <v>1418.6</v>
      </c>
      <c r="F8" s="27">
        <v>1146.2</v>
      </c>
      <c r="G8" s="27">
        <v>1146.4</v>
      </c>
      <c r="H8" s="27">
        <v>940.8</v>
      </c>
      <c r="I8" s="27">
        <v>1060.1</v>
      </c>
      <c r="J8" s="27">
        <v>1300.4</v>
      </c>
      <c r="K8" s="27">
        <v>1177.1</v>
      </c>
      <c r="L8" s="27">
        <v>1075</v>
      </c>
      <c r="M8" s="27">
        <v>1395</v>
      </c>
      <c r="N8" s="27">
        <v>1375.1</v>
      </c>
      <c r="O8" s="27">
        <v>1044.4</v>
      </c>
      <c r="P8" s="23">
        <f t="shared" si="0"/>
        <v>14285.5</v>
      </c>
    </row>
    <row r="9" s="18" customFormat="1" ht="26" customHeight="1" spans="1:18">
      <c r="A9" s="31"/>
      <c r="B9" s="13" t="s">
        <v>27</v>
      </c>
      <c r="C9" s="27" t="s">
        <v>28</v>
      </c>
      <c r="D9" s="28">
        <v>286238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23">
        <f t="shared" si="0"/>
        <v>286238</v>
      </c>
      <c r="Q9" s="18">
        <v>286238</v>
      </c>
    </row>
    <row r="10" s="18" customFormat="1" ht="31" customHeight="1" spans="1:18">
      <c r="A10" s="9" t="s">
        <v>1</v>
      </c>
      <c r="B10" s="9"/>
      <c r="C10" s="32" t="s">
        <v>29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23" t="s">
        <v>3</v>
      </c>
    </row>
    <row r="11" s="18" customFormat="1" ht="27" customHeight="1" spans="1:18">
      <c r="A11" s="9"/>
      <c r="B11" s="9" t="s">
        <v>4</v>
      </c>
      <c r="C11" s="27" t="s">
        <v>5</v>
      </c>
      <c r="D11" s="32" t="s">
        <v>6</v>
      </c>
      <c r="E11" s="32" t="s">
        <v>7</v>
      </c>
      <c r="F11" s="32" t="s">
        <v>8</v>
      </c>
      <c r="G11" s="32" t="s">
        <v>9</v>
      </c>
      <c r="H11" s="32" t="s">
        <v>10</v>
      </c>
      <c r="I11" s="32" t="s">
        <v>11</v>
      </c>
      <c r="J11" s="32" t="s">
        <v>12</v>
      </c>
      <c r="K11" s="32" t="s">
        <v>13</v>
      </c>
      <c r="L11" s="32" t="s">
        <v>14</v>
      </c>
      <c r="M11" s="32" t="s">
        <v>15</v>
      </c>
      <c r="N11" s="32" t="s">
        <v>16</v>
      </c>
      <c r="O11" s="32" t="s">
        <v>17</v>
      </c>
      <c r="P11" s="23"/>
      <c r="Q11" s="18" t="s">
        <v>30</v>
      </c>
    </row>
    <row r="12" s="18" customFormat="1" ht="26" customHeight="1" spans="1:18">
      <c r="A12" s="24"/>
      <c r="B12" s="9" t="s">
        <v>18</v>
      </c>
      <c r="C12" s="33" t="s">
        <v>19</v>
      </c>
      <c r="D12" s="34">
        <v>841845</v>
      </c>
      <c r="E12" s="34">
        <v>729326</v>
      </c>
      <c r="F12" s="34">
        <v>657176</v>
      </c>
      <c r="G12" s="34">
        <v>546243</v>
      </c>
      <c r="H12" s="34">
        <v>693206</v>
      </c>
      <c r="I12" s="34">
        <v>609258</v>
      </c>
      <c r="J12" s="34">
        <v>597909</v>
      </c>
      <c r="K12" s="34">
        <v>375627</v>
      </c>
      <c r="L12" s="34">
        <v>542671</v>
      </c>
      <c r="M12" s="34">
        <v>689996</v>
      </c>
      <c r="N12" s="34">
        <v>751221</v>
      </c>
      <c r="O12" s="34">
        <v>273046</v>
      </c>
      <c r="P12" s="23">
        <f t="shared" ref="P12:P17" si="1">SUM(D12:O12)</f>
        <v>7307524</v>
      </c>
      <c r="Q12" s="18">
        <f>SUM(N4:O4)+SUM(D12:M12)</f>
        <v>7515283</v>
      </c>
    </row>
    <row r="13" s="18" customFormat="1" ht="26" customHeight="1" spans="1:18">
      <c r="A13" s="24"/>
      <c r="B13" s="13" t="s">
        <v>20</v>
      </c>
      <c r="C13" s="27" t="s">
        <v>21</v>
      </c>
      <c r="D13" s="32">
        <v>1456</v>
      </c>
      <c r="E13" s="32">
        <v>1983</v>
      </c>
      <c r="F13" s="32">
        <v>1805</v>
      </c>
      <c r="G13" s="32">
        <v>1942</v>
      </c>
      <c r="H13" s="32">
        <v>1989</v>
      </c>
      <c r="I13" s="32">
        <v>2067</v>
      </c>
      <c r="J13" s="32">
        <v>2445</v>
      </c>
      <c r="K13" s="32">
        <v>1711</v>
      </c>
      <c r="L13" s="32">
        <v>1763</v>
      </c>
      <c r="M13" s="32">
        <v>1895</v>
      </c>
      <c r="N13" s="32">
        <v>2054</v>
      </c>
      <c r="O13" s="32">
        <v>1456</v>
      </c>
      <c r="P13" s="23">
        <f t="shared" si="1"/>
        <v>22566</v>
      </c>
      <c r="Q13" s="18">
        <f>SUM(N5:O5)+SUM(D13:M13)</f>
        <v>21966</v>
      </c>
    </row>
    <row r="14" s="18" customFormat="1" ht="26" customHeight="1" spans="1:18">
      <c r="A14" s="24"/>
      <c r="B14" s="13" t="s">
        <v>22</v>
      </c>
      <c r="C14" s="27" t="s">
        <v>21</v>
      </c>
      <c r="D14" s="28">
        <v>119.8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/>
      <c r="P14" s="23">
        <f t="shared" si="1"/>
        <v>119.8</v>
      </c>
    </row>
    <row r="15" s="18" customFormat="1" ht="26" customHeight="1" spans="1:18">
      <c r="A15" s="24"/>
      <c r="B15" s="13" t="s">
        <v>23</v>
      </c>
      <c r="C15" s="27" t="s">
        <v>24</v>
      </c>
      <c r="D15" s="27"/>
      <c r="E15" s="27">
        <v>7812.5</v>
      </c>
      <c r="F15" s="27"/>
      <c r="G15" s="27"/>
      <c r="H15" s="27"/>
      <c r="I15" s="27"/>
      <c r="J15" s="27">
        <v>3797.46</v>
      </c>
      <c r="K15" s="27"/>
      <c r="L15" s="27"/>
      <c r="M15" s="27"/>
      <c r="N15" s="27">
        <v>6329.11</v>
      </c>
      <c r="O15" s="27"/>
      <c r="P15" s="23">
        <f t="shared" si="1"/>
        <v>17939.07</v>
      </c>
      <c r="Q15" s="18">
        <f>O7+E15+J15</f>
        <v>12912.04</v>
      </c>
    </row>
    <row r="16" s="18" customFormat="1" ht="26" customHeight="1" spans="1:18">
      <c r="A16" s="24"/>
      <c r="B16" s="13" t="s">
        <v>25</v>
      </c>
      <c r="C16" s="27" t="s">
        <v>26</v>
      </c>
      <c r="D16" s="27">
        <v>1641.5</v>
      </c>
      <c r="E16" s="27">
        <v>1299.3</v>
      </c>
      <c r="F16" s="27">
        <v>1196.1</v>
      </c>
      <c r="G16" s="27">
        <v>675.9</v>
      </c>
      <c r="H16" s="27">
        <v>864.3</v>
      </c>
      <c r="I16" s="34">
        <v>1381</v>
      </c>
      <c r="J16" s="34">
        <v>828.1</v>
      </c>
      <c r="K16" s="34">
        <v>623.1</v>
      </c>
      <c r="L16" s="34">
        <v>881</v>
      </c>
      <c r="M16" s="34">
        <v>1044.4</v>
      </c>
      <c r="N16" s="35">
        <v>949.9</v>
      </c>
      <c r="O16" s="35">
        <v>1482</v>
      </c>
      <c r="P16" s="23">
        <f t="shared" si="1"/>
        <v>12866.6</v>
      </c>
      <c r="Q16" s="18">
        <f>SUM(N8:O8)+SUM(D16:M16)</f>
        <v>12854.2</v>
      </c>
      <c r="R16" s="18">
        <v>18326.8</v>
      </c>
    </row>
    <row r="17" s="18" customFormat="1" ht="26" customHeight="1" spans="1:17">
      <c r="A17" s="31"/>
      <c r="B17" s="13" t="s">
        <v>27</v>
      </c>
      <c r="C17" s="27" t="s">
        <v>28</v>
      </c>
      <c r="D17" s="28">
        <v>257179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23">
        <f t="shared" si="1"/>
        <v>257179</v>
      </c>
      <c r="Q17" s="18">
        <v>224179</v>
      </c>
    </row>
    <row r="18" s="18" customFormat="1" ht="31" customHeight="1" spans="1:17">
      <c r="A18" s="9" t="s">
        <v>1</v>
      </c>
      <c r="B18" s="9"/>
      <c r="C18" s="32" t="s">
        <v>31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23" t="s">
        <v>3</v>
      </c>
    </row>
    <row r="19" s="18" customFormat="1" ht="27" customHeight="1" spans="1:17">
      <c r="A19" s="9"/>
      <c r="B19" s="9" t="s">
        <v>4</v>
      </c>
      <c r="C19" s="27" t="s">
        <v>5</v>
      </c>
      <c r="D19" s="32" t="s">
        <v>6</v>
      </c>
      <c r="E19" s="32" t="s">
        <v>7</v>
      </c>
      <c r="F19" s="32" t="s">
        <v>8</v>
      </c>
      <c r="G19" s="32" t="s">
        <v>9</v>
      </c>
      <c r="H19" s="32" t="s">
        <v>10</v>
      </c>
      <c r="I19" s="32" t="s">
        <v>11</v>
      </c>
      <c r="J19" s="32" t="s">
        <v>12</v>
      </c>
      <c r="K19" s="32" t="s">
        <v>13</v>
      </c>
      <c r="L19" s="32" t="s">
        <v>14</v>
      </c>
      <c r="M19" s="32" t="s">
        <v>15</v>
      </c>
      <c r="N19" s="32" t="s">
        <v>16</v>
      </c>
      <c r="O19" s="32" t="s">
        <v>17</v>
      </c>
      <c r="P19" s="23"/>
    </row>
    <row r="20" s="18" customFormat="1" ht="26" customHeight="1" spans="1:17">
      <c r="A20" s="24"/>
      <c r="B20" s="9" t="s">
        <v>18</v>
      </c>
      <c r="C20" s="33" t="s">
        <v>19</v>
      </c>
      <c r="D20" s="32">
        <v>652105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23">
        <f>SUM(D20:O20)</f>
        <v>652105</v>
      </c>
    </row>
    <row r="21" s="18" customFormat="1" ht="26" customHeight="1" spans="1:17">
      <c r="A21" s="24"/>
      <c r="B21" s="13" t="s">
        <v>20</v>
      </c>
      <c r="C21" s="27" t="s">
        <v>21</v>
      </c>
      <c r="D21" s="32">
        <v>1386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23">
        <f>SUM(D21:O21)</f>
        <v>1386</v>
      </c>
    </row>
    <row r="22" s="18" customFormat="1" ht="26" customHeight="1" spans="1:17">
      <c r="A22" s="24"/>
      <c r="B22" s="13" t="s">
        <v>22</v>
      </c>
      <c r="C22" s="27" t="s">
        <v>21</v>
      </c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  <c r="P22" s="23">
        <f>SUM(D22:O22)</f>
        <v>0</v>
      </c>
    </row>
    <row r="23" s="18" customFormat="1" ht="26" customHeight="1" spans="1:17">
      <c r="A23" s="24"/>
      <c r="B23" s="13" t="s">
        <v>23</v>
      </c>
      <c r="C23" s="27" t="s">
        <v>24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3"/>
    </row>
    <row r="24" s="18" customFormat="1" ht="26" customHeight="1" spans="1:17">
      <c r="A24" s="24"/>
      <c r="B24" s="13" t="s">
        <v>25</v>
      </c>
      <c r="C24" s="27" t="s">
        <v>26</v>
      </c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0"/>
      <c r="P24" s="23">
        <f>SUM(D24:O24)</f>
        <v>0</v>
      </c>
    </row>
    <row r="25" s="18" customFormat="1" ht="26" customHeight="1" spans="1:17">
      <c r="A25" s="31"/>
      <c r="B25" s="13" t="s">
        <v>27</v>
      </c>
      <c r="C25" s="27" t="s">
        <v>28</v>
      </c>
      <c r="D25" s="28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0"/>
      <c r="P25" s="23">
        <f>SUM(D25:O25)</f>
        <v>0</v>
      </c>
    </row>
    <row r="28" s="19" customFormat="1" spans="1:17">
      <c r="I28" s="20"/>
    </row>
    <row r="29" spans="1:17">
      <c r="I29" s="20"/>
    </row>
    <row r="30" spans="1:17">
      <c r="I30" s="20"/>
    </row>
    <row r="31" spans="1:17">
      <c r="I31" s="20"/>
    </row>
    <row r="32" spans="1:17">
      <c r="I32" s="20"/>
    </row>
  </sheetData>
  <mergeCells count="20">
    <mergeCell ref="A1:P1"/>
    <mergeCell ref="D2:O2"/>
    <mergeCell ref="D6:O6"/>
    <mergeCell ref="D9:O9"/>
    <mergeCell ref="C10:O10"/>
    <mergeCell ref="D14:O14"/>
    <mergeCell ref="D17:O17"/>
    <mergeCell ref="C18:O18"/>
    <mergeCell ref="D22:O22"/>
    <mergeCell ref="D24:O24"/>
    <mergeCell ref="D25:O25"/>
    <mergeCell ref="A2:A3"/>
    <mergeCell ref="A4:A9"/>
    <mergeCell ref="A10:A11"/>
    <mergeCell ref="A12:A17"/>
    <mergeCell ref="A18:A19"/>
    <mergeCell ref="A20:A25"/>
    <mergeCell ref="P2:P3"/>
    <mergeCell ref="P10:P11"/>
    <mergeCell ref="P18:P19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O20" sqref="O20"/>
    </sheetView>
  </sheetViews>
  <sheetFormatPr defaultColWidth="9" defaultRowHeight="14.25"/>
  <cols>
    <col min="1" max="1" width="13.6666666666667" style="1" customWidth="1"/>
    <col min="2" max="2" width="13.5" style="1" customWidth="1"/>
    <col min="3" max="3" width="12.5833333333333" style="1" customWidth="1"/>
    <col min="4" max="4" width="15.5833333333333" style="1" customWidth="1"/>
    <col min="5" max="5" width="15.8333333333333" style="2" customWidth="1"/>
    <col min="6" max="6" width="13.6666666666667" style="2" customWidth="1"/>
    <col min="7" max="7" width="14.5833333333333" style="2" customWidth="1"/>
    <col min="8" max="8" width="15.0833333333333" style="2" customWidth="1"/>
    <col min="9" max="9" width="14.5833333333333" style="2" customWidth="1"/>
    <col min="10" max="10" width="17.8333333333333" style="2" customWidth="1"/>
    <col min="11" max="16384" width="9" style="1"/>
  </cols>
  <sheetData>
    <row r="1" s="1" customFormat="1" ht="28" customHeight="1" spans="1:10">
      <c r="A1" s="3" t="s">
        <v>32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1" customHeight="1" spans="1:10">
      <c r="A2" s="4" t="s">
        <v>33</v>
      </c>
      <c r="B2" s="5" t="s">
        <v>5</v>
      </c>
      <c r="C2" s="6" t="s">
        <v>34</v>
      </c>
      <c r="D2" s="5" t="s">
        <v>35</v>
      </c>
      <c r="E2" s="5" t="str">
        <f>'[2]1公司消耗情况表'!D2</f>
        <v>2024年3月至2025年2月</v>
      </c>
      <c r="F2" s="5"/>
      <c r="G2" s="5" t="str">
        <f>'[2]1公司消耗情况表'!C9</f>
        <v>2025年3月至2026年2月</v>
      </c>
      <c r="H2" s="5"/>
      <c r="I2" s="5" t="str">
        <f>'[2]1公司消耗情况表'!C16</f>
        <v>2026年3月至2027年2月</v>
      </c>
      <c r="J2" s="5"/>
    </row>
    <row r="3" s="1" customFormat="1" ht="21" customHeight="1" spans="1:10">
      <c r="A3" s="7"/>
      <c r="B3" s="5"/>
      <c r="C3" s="6"/>
      <c r="D3" s="5"/>
      <c r="E3" s="5" t="s">
        <v>36</v>
      </c>
      <c r="F3" s="8" t="s">
        <v>37</v>
      </c>
      <c r="G3" s="5" t="s">
        <v>36</v>
      </c>
      <c r="H3" s="5" t="s">
        <v>37</v>
      </c>
      <c r="I3" s="5" t="s">
        <v>36</v>
      </c>
      <c r="J3" s="5" t="s">
        <v>37</v>
      </c>
    </row>
    <row r="4" s="1" customFormat="1" ht="30" customHeight="1" spans="1:10">
      <c r="A4" s="9" t="s">
        <v>18</v>
      </c>
      <c r="B4" s="10" t="s">
        <v>19</v>
      </c>
      <c r="C4" s="11">
        <v>0.1229</v>
      </c>
      <c r="D4" s="11" t="s">
        <v>38</v>
      </c>
      <c r="E4" s="12">
        <f>'[2]1公司消耗情况表'!P4</f>
        <v>8306124</v>
      </c>
      <c r="F4" s="11">
        <f>E4*C4/1000</f>
        <v>1020.8226396</v>
      </c>
      <c r="G4" s="12">
        <f>'[2]1公司消耗情况表'!P11</f>
        <v>7307524</v>
      </c>
      <c r="H4" s="11">
        <f>SUM(G4*C4)/1000</f>
        <v>898.0946996</v>
      </c>
      <c r="I4" s="12">
        <f>'[2]1公司消耗情况表'!P18</f>
        <v>652105</v>
      </c>
      <c r="J4" s="11">
        <f>SUM(I4*C4)/1000</f>
        <v>80.1437045</v>
      </c>
    </row>
    <row r="5" s="1" customFormat="1" ht="30" customHeight="1" spans="1:10">
      <c r="A5" s="13" t="s">
        <v>20</v>
      </c>
      <c r="B5" s="9" t="s">
        <v>21</v>
      </c>
      <c r="C5" s="11">
        <v>0.2571</v>
      </c>
      <c r="D5" s="11" t="s">
        <v>39</v>
      </c>
      <c r="E5" s="12">
        <f>'[2]1公司消耗情况表'!P5</f>
        <v>23101</v>
      </c>
      <c r="F5" s="11">
        <f>E5*C5/1000</f>
        <v>5.9392671</v>
      </c>
      <c r="G5" s="12">
        <f>'[2]1公司消耗情况表'!P12</f>
        <v>22566</v>
      </c>
      <c r="H5" s="11">
        <f>SUM(G5*C5)/1000</f>
        <v>5.8017186</v>
      </c>
      <c r="I5" s="12">
        <f>'[2]1公司消耗情况表'!P19</f>
        <v>1386</v>
      </c>
      <c r="J5" s="11">
        <f>SUM(I5*C5)/1000</f>
        <v>0.3563406</v>
      </c>
    </row>
    <row r="6" s="1" customFormat="1" ht="30" customHeight="1" spans="1:10">
      <c r="A6" s="13" t="s">
        <v>22</v>
      </c>
      <c r="B6" s="9" t="s">
        <v>21</v>
      </c>
      <c r="C6" s="6">
        <v>1.4571</v>
      </c>
      <c r="D6" s="11" t="s">
        <v>39</v>
      </c>
      <c r="E6" s="12">
        <f>'[2]1公司消耗情况表'!P6</f>
        <v>143.07</v>
      </c>
      <c r="F6" s="11">
        <f>E6*C6</f>
        <v>208.467297</v>
      </c>
      <c r="G6" s="12">
        <f>'[2]1公司消耗情况表'!P13</f>
        <v>119.8</v>
      </c>
      <c r="H6" s="11">
        <f>SUM(G6*C6)</f>
        <v>174.56058</v>
      </c>
      <c r="I6" s="12">
        <f>'[2]1公司消耗情况表'!P20</f>
        <v>0</v>
      </c>
      <c r="J6" s="11">
        <f>SUM(I6*C6)</f>
        <v>0</v>
      </c>
    </row>
    <row r="7" s="1" customFormat="1" ht="30" customHeight="1" spans="1:10">
      <c r="A7" s="6" t="s">
        <v>37</v>
      </c>
      <c r="B7" s="6"/>
      <c r="C7" s="6"/>
      <c r="D7" s="14"/>
      <c r="E7" s="11"/>
      <c r="F7" s="11">
        <f t="shared" ref="F7:J7" si="0">SUM(F4:F6)</f>
        <v>1235.2292037</v>
      </c>
      <c r="G7" s="11"/>
      <c r="H7" s="11">
        <f t="shared" si="0"/>
        <v>1078.4569982</v>
      </c>
      <c r="I7" s="11"/>
      <c r="J7" s="11">
        <f t="shared" si="0"/>
        <v>80.5000451</v>
      </c>
    </row>
    <row r="8" s="1" customFormat="1" ht="30" customHeight="1" spans="1:10">
      <c r="A8" s="15" t="s">
        <v>25</v>
      </c>
      <c r="B8" s="6" t="s">
        <v>26</v>
      </c>
      <c r="C8" s="6"/>
      <c r="D8" s="14"/>
      <c r="E8" s="12">
        <f>'[2]1公司消耗情况表'!P7</f>
        <v>14285.5</v>
      </c>
      <c r="F8" s="12"/>
      <c r="G8" s="12">
        <f>'[2]1公司消耗情况表'!P14</f>
        <v>12866.6</v>
      </c>
      <c r="H8" s="12"/>
      <c r="I8" s="12">
        <f>'[2]1公司消耗情况表'!R14</f>
        <v>0</v>
      </c>
      <c r="J8" s="12"/>
    </row>
    <row r="9" s="1" customFormat="1" ht="30" customHeight="1" spans="1:10">
      <c r="A9" s="15" t="s">
        <v>40</v>
      </c>
      <c r="B9" s="9" t="s">
        <v>28</v>
      </c>
      <c r="C9" s="5"/>
      <c r="D9" s="5"/>
      <c r="E9" s="12">
        <f>'[2]1公司消耗情况表'!P8</f>
        <v>286238</v>
      </c>
      <c r="F9" s="5"/>
      <c r="G9" s="12">
        <f>'[2]1公司消耗情况表'!P15</f>
        <v>257179</v>
      </c>
      <c r="H9" s="5"/>
      <c r="I9" s="12">
        <f>'[2]1公司消耗情况表'!R15</f>
        <v>0</v>
      </c>
      <c r="J9" s="5"/>
    </row>
    <row r="10" s="1" customFormat="1" ht="30" customHeight="1" spans="1:10">
      <c r="A10" s="15" t="s">
        <v>41</v>
      </c>
      <c r="B10" s="6" t="s">
        <v>42</v>
      </c>
      <c r="C10" s="5"/>
      <c r="D10" s="5"/>
      <c r="E10" s="16"/>
      <c r="F10" s="11">
        <f t="shared" ref="F10:J10" si="1">F7*1000/E8</f>
        <v>86.467341269119</v>
      </c>
      <c r="G10" s="11"/>
      <c r="H10" s="11">
        <f t="shared" si="1"/>
        <v>83.8183357064026</v>
      </c>
      <c r="I10" s="11"/>
      <c r="J10" s="11" t="e">
        <f t="shared" si="1"/>
        <v>#DIV/0!</v>
      </c>
    </row>
    <row r="11" s="1" customFormat="1" ht="30" customHeight="1" spans="1:10">
      <c r="A11" s="15" t="s">
        <v>43</v>
      </c>
      <c r="B11" s="6" t="s">
        <v>44</v>
      </c>
      <c r="C11" s="5"/>
      <c r="D11" s="11"/>
      <c r="E11" s="11"/>
      <c r="F11" s="11">
        <f t="shared" ref="F11:J11" si="2">F7*1000/E9</f>
        <v>4.31539209923211</v>
      </c>
      <c r="G11" s="11"/>
      <c r="H11" s="11">
        <f t="shared" si="2"/>
        <v>4.19341003036795</v>
      </c>
      <c r="I11" s="11"/>
      <c r="J11" s="11" t="e">
        <f t="shared" si="2"/>
        <v>#DIV/0!</v>
      </c>
    </row>
    <row r="12" s="1" customFormat="1" spans="1:10">
      <c r="A12" s="17"/>
      <c r="B12" s="17"/>
      <c r="C12" s="17"/>
      <c r="D12" s="17"/>
      <c r="E12" s="2"/>
      <c r="F12" s="2"/>
      <c r="G12" s="2"/>
      <c r="H12" s="2"/>
      <c r="I12" s="2"/>
      <c r="J12" s="2"/>
    </row>
  </sheetData>
  <mergeCells count="10">
    <mergeCell ref="A1:H1"/>
    <mergeCell ref="E2:F2"/>
    <mergeCell ref="G2:H2"/>
    <mergeCell ref="I2:J2"/>
    <mergeCell ref="A7:C7"/>
    <mergeCell ref="A12:D12"/>
    <mergeCell ref="A2:A3"/>
    <mergeCell ref="B2:B3"/>
    <mergeCell ref="C2:C3"/>
    <mergeCell ref="D2:D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1公司消耗情况表</vt:lpstr>
      <vt:lpstr>2消耗情况表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</cp:lastModifiedBy>
  <dcterms:created xsi:type="dcterms:W3CDTF">2019-04-17T02:40:00Z</dcterms:created>
  <dcterms:modified xsi:type="dcterms:W3CDTF">2026-08-27T03:13:09Z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5809D830E0E249F0B109AC17336D8DDE_13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